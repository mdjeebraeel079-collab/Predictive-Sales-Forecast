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1d950f254b702/Desktop/"/>
    </mc:Choice>
  </mc:AlternateContent>
  <xr:revisionPtr revIDLastSave="3" documentId="8_{8F03005C-4C49-4EA8-B175-8CB710C1C082}" xr6:coauthVersionLast="47" xr6:coauthVersionMax="47" xr10:uidLastSave="{C656FF70-B63C-48A6-BAA9-EAFD9E2F6929}"/>
  <bookViews>
    <workbookView xWindow="-120" yWindow="-120" windowWidth="20730" windowHeight="11310" activeTab="1" xr2:uid="{3924221D-8211-4621-A62D-996E2F49AACD}"/>
  </bookViews>
  <sheets>
    <sheet name="Sales data" sheetId="1" r:id="rId1"/>
    <sheet name="Dashboard" sheetId="2" r:id="rId2"/>
    <sheet name="Forecast_sales" sheetId="4" r:id="rId3"/>
  </sheets>
  <definedNames>
    <definedName name="_xlchart.v1.0" hidden="1">'Sales data'!$A$2:$A$31</definedName>
    <definedName name="_xlchart.v1.1" hidden="1">'Sales data'!$D$1</definedName>
    <definedName name="_xlchart.v1.2" hidden="1">'Sales data'!$D$2:$D$31</definedName>
    <definedName name="_xlchart.v1.3" hidden="1">'Sales data'!$H$1</definedName>
    <definedName name="_xlchart.v1.4" hidden="1">'Sales data'!$H$2:$H$31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2" l="1"/>
  <c r="O7" i="2"/>
  <c r="O6" i="2"/>
  <c r="C32" i="4"/>
  <c r="C33" i="4"/>
  <c r="C34" i="4"/>
  <c r="C35" i="4"/>
  <c r="C36" i="4"/>
  <c r="C37" i="4"/>
  <c r="C38" i="4"/>
  <c r="C39" i="4"/>
  <c r="D36" i="4" l="1"/>
  <c r="D37" i="4"/>
  <c r="D38" i="4"/>
  <c r="D39" i="4"/>
  <c r="E32" i="4"/>
  <c r="E33" i="4"/>
  <c r="E39" i="4"/>
  <c r="E34" i="4"/>
  <c r="E35" i="4"/>
  <c r="E36" i="4"/>
  <c r="E37" i="4"/>
  <c r="E38" i="4"/>
  <c r="D32" i="4"/>
  <c r="D33" i="4"/>
  <c r="D34" i="4"/>
  <c r="D35" i="4"/>
</calcChain>
</file>

<file path=xl/sharedStrings.xml><?xml version="1.0" encoding="utf-8"?>
<sst xmlns="http://schemas.openxmlformats.org/spreadsheetml/2006/main" count="87" uniqueCount="28">
  <si>
    <t>Month</t>
  </si>
  <si>
    <t>Region</t>
  </si>
  <si>
    <t>Category</t>
  </si>
  <si>
    <t>Sales</t>
  </si>
  <si>
    <t>Profit</t>
  </si>
  <si>
    <t>Quantity</t>
  </si>
  <si>
    <t>Customer_Count</t>
  </si>
  <si>
    <t>Marketing_Spend</t>
  </si>
  <si>
    <t>Sales_Target</t>
  </si>
  <si>
    <t>North</t>
  </si>
  <si>
    <t>Electronics</t>
  </si>
  <si>
    <t>South</t>
  </si>
  <si>
    <t>Furniture</t>
  </si>
  <si>
    <t>West</t>
  </si>
  <si>
    <t>East</t>
  </si>
  <si>
    <t>Office</t>
  </si>
  <si>
    <t>Forecast(Sales)</t>
  </si>
  <si>
    <t>Lower Confidence Bound(Sales)</t>
  </si>
  <si>
    <t>Upper Confidence Bound(Sales)</t>
  </si>
  <si>
    <t>Total Sales</t>
  </si>
  <si>
    <t>Total Profit</t>
  </si>
  <si>
    <t>Average Monthly Sales</t>
  </si>
  <si>
    <t>Prepared By: Md Jeebraeel         MBA Student | Data Analytics Internship Project</t>
  </si>
  <si>
    <t>Total Customers</t>
  </si>
  <si>
    <t>SALES FORECAST (NEXT 6 MONTHS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</si>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</sst>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17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4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Border="1"/>
    <xf numFmtId="164" fontId="6" fillId="5" borderId="0" xfId="1" applyNumberFormat="1" applyFont="1" applyFill="1" applyBorder="1"/>
    <xf numFmtId="164" fontId="6" fillId="6" borderId="0" xfId="1" applyNumberFormat="1" applyFont="1" applyFill="1" applyBorder="1"/>
    <xf numFmtId="164" fontId="6" fillId="7" borderId="0" xfId="1" applyNumberFormat="1" applyFont="1" applyFill="1" applyBorder="1"/>
    <xf numFmtId="0" fontId="6" fillId="5" borderId="0" xfId="1" applyFont="1" applyFill="1" applyBorder="1" applyAlignment="1">
      <alignment horizontal="left"/>
    </xf>
    <xf numFmtId="0" fontId="6" fillId="6" borderId="0" xfId="1" applyFont="1" applyFill="1" applyBorder="1" applyAlignment="1">
      <alignment horizontal="left"/>
    </xf>
    <xf numFmtId="0" fontId="6" fillId="7" borderId="0" xfId="1" applyFont="1" applyFill="1" applyBorder="1" applyAlignment="1">
      <alignment horizontal="left"/>
    </xf>
  </cellXfs>
  <cellStyles count="2">
    <cellStyle name="Neutral" xfId="1" builtinId="28"/>
    <cellStyle name="Normal" xfId="0" builtinId="0"/>
  </cellStyles>
  <dxfs count="3">
    <dxf>
      <numFmt numFmtId="2" formatCode="0.00"/>
    </dxf>
    <dxf>
      <numFmt numFmtId="2" formatCode="0.00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data'!$D$1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'Sales data'!$A$2:$A$31</c:f>
              <c:numCache>
                <c:formatCode>mmm\-yy</c:formatCode>
                <c:ptCount val="3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</c:numCache>
            </c:numRef>
          </c:cat>
          <c:val>
            <c:numRef>
              <c:f>'Sales data'!$D$2:$D$31</c:f>
              <c:numCache>
                <c:formatCode>General</c:formatCode>
                <c:ptCount val="30"/>
                <c:pt idx="0">
                  <c:v>150000</c:v>
                </c:pt>
                <c:pt idx="1">
                  <c:v>165000</c:v>
                </c:pt>
                <c:pt idx="2">
                  <c:v>180000</c:v>
                </c:pt>
                <c:pt idx="3">
                  <c:v>175000</c:v>
                </c:pt>
                <c:pt idx="4">
                  <c:v>195000</c:v>
                </c:pt>
                <c:pt idx="5">
                  <c:v>210000</c:v>
                </c:pt>
                <c:pt idx="6">
                  <c:v>225000</c:v>
                </c:pt>
                <c:pt idx="7">
                  <c:v>240000</c:v>
                </c:pt>
                <c:pt idx="8">
                  <c:v>300000</c:v>
                </c:pt>
                <c:pt idx="9">
                  <c:v>270000</c:v>
                </c:pt>
                <c:pt idx="10">
                  <c:v>290000</c:v>
                </c:pt>
                <c:pt idx="11">
                  <c:v>320000</c:v>
                </c:pt>
                <c:pt idx="12">
                  <c:v>335000</c:v>
                </c:pt>
                <c:pt idx="13">
                  <c:v>350000</c:v>
                </c:pt>
                <c:pt idx="14">
                  <c:v>370000</c:v>
                </c:pt>
                <c:pt idx="15">
                  <c:v>385000</c:v>
                </c:pt>
                <c:pt idx="16">
                  <c:v>405000</c:v>
                </c:pt>
                <c:pt idx="17">
                  <c:v>425000</c:v>
                </c:pt>
                <c:pt idx="18">
                  <c:v>445000</c:v>
                </c:pt>
                <c:pt idx="19">
                  <c:v>500000</c:v>
                </c:pt>
                <c:pt idx="20">
                  <c:v>490000</c:v>
                </c:pt>
                <c:pt idx="21">
                  <c:v>515000</c:v>
                </c:pt>
                <c:pt idx="22">
                  <c:v>540000</c:v>
                </c:pt>
                <c:pt idx="23">
                  <c:v>580000</c:v>
                </c:pt>
                <c:pt idx="24">
                  <c:v>610000</c:v>
                </c:pt>
                <c:pt idx="25">
                  <c:v>640000</c:v>
                </c:pt>
                <c:pt idx="26">
                  <c:v>795000</c:v>
                </c:pt>
                <c:pt idx="27">
                  <c:v>700000</c:v>
                </c:pt>
                <c:pt idx="28">
                  <c:v>735000</c:v>
                </c:pt>
                <c:pt idx="29">
                  <c:v>815000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C-4C2C-A078-85A5ECE06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393823"/>
        <c:axId val="1781397663"/>
      </c:lineChart>
      <c:dateAx>
        <c:axId val="17813938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97663"/>
        <c:crosses val="autoZero"/>
        <c:auto val="1"/>
        <c:lblOffset val="100"/>
        <c:baseTimeUnit val="months"/>
      </c:dateAx>
      <c:valAx>
        <c:axId val="178139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9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Actual Sales vs</a:t>
            </a:r>
            <a:r>
              <a:rPr lang="en-US" b="1" baseline="0"/>
              <a:t> Target Sales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'Sales data'!$D$1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'Sales data'!$A$2:$A$31</c:f>
              <c:numCache>
                <c:formatCode>mmm\-yy</c:formatCode>
                <c:ptCount val="3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</c:numCache>
            </c:numRef>
          </c:cat>
          <c:val>
            <c:numRef>
              <c:f>'Sales data'!$D$2:$D$31</c:f>
              <c:numCache>
                <c:formatCode>General</c:formatCode>
                <c:ptCount val="30"/>
                <c:pt idx="0">
                  <c:v>150000</c:v>
                </c:pt>
                <c:pt idx="1">
                  <c:v>165000</c:v>
                </c:pt>
                <c:pt idx="2">
                  <c:v>180000</c:v>
                </c:pt>
                <c:pt idx="3">
                  <c:v>175000</c:v>
                </c:pt>
                <c:pt idx="4">
                  <c:v>195000</c:v>
                </c:pt>
                <c:pt idx="5">
                  <c:v>210000</c:v>
                </c:pt>
                <c:pt idx="6">
                  <c:v>225000</c:v>
                </c:pt>
                <c:pt idx="7">
                  <c:v>240000</c:v>
                </c:pt>
                <c:pt idx="8">
                  <c:v>300000</c:v>
                </c:pt>
                <c:pt idx="9">
                  <c:v>270000</c:v>
                </c:pt>
                <c:pt idx="10">
                  <c:v>290000</c:v>
                </c:pt>
                <c:pt idx="11">
                  <c:v>320000</c:v>
                </c:pt>
                <c:pt idx="12">
                  <c:v>335000</c:v>
                </c:pt>
                <c:pt idx="13">
                  <c:v>350000</c:v>
                </c:pt>
                <c:pt idx="14">
                  <c:v>370000</c:v>
                </c:pt>
                <c:pt idx="15">
                  <c:v>385000</c:v>
                </c:pt>
                <c:pt idx="16">
                  <c:v>405000</c:v>
                </c:pt>
                <c:pt idx="17">
                  <c:v>425000</c:v>
                </c:pt>
                <c:pt idx="18">
                  <c:v>445000</c:v>
                </c:pt>
                <c:pt idx="19">
                  <c:v>500000</c:v>
                </c:pt>
                <c:pt idx="20">
                  <c:v>490000</c:v>
                </c:pt>
                <c:pt idx="21">
                  <c:v>515000</c:v>
                </c:pt>
                <c:pt idx="22">
                  <c:v>540000</c:v>
                </c:pt>
                <c:pt idx="23">
                  <c:v>580000</c:v>
                </c:pt>
                <c:pt idx="24">
                  <c:v>610000</c:v>
                </c:pt>
                <c:pt idx="25">
                  <c:v>640000</c:v>
                </c:pt>
                <c:pt idx="26">
                  <c:v>795000</c:v>
                </c:pt>
                <c:pt idx="27">
                  <c:v>700000</c:v>
                </c:pt>
                <c:pt idx="28">
                  <c:v>735000</c:v>
                </c:pt>
                <c:pt idx="29">
                  <c:v>815000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3-43FB-BDF6-BD5AEAA814C8}"/>
            </c:ext>
          </c:extLst>
        </c:ser>
        <c:ser>
          <c:idx val="1"/>
          <c:order val="1"/>
          <c:tx>
            <c:strRef>
              <c:f>'Sales data'!$I$1</c:f>
              <c:strCache>
                <c:ptCount val="1"/>
                <c:pt idx="0">
                  <c:v>Sales_Target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'Sales data'!$A$2:$A$31</c:f>
              <c:numCache>
                <c:formatCode>mmm\-yy</c:formatCode>
                <c:ptCount val="30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</c:numCache>
            </c:numRef>
          </c:cat>
          <c:val>
            <c:numRef>
              <c:f>'Sales data'!$I$2:$I$31</c:f>
              <c:numCache>
                <c:formatCode>General</c:formatCode>
                <c:ptCount val="30"/>
                <c:pt idx="0">
                  <c:v>160000</c:v>
                </c:pt>
                <c:pt idx="1">
                  <c:v>170000</c:v>
                </c:pt>
                <c:pt idx="2">
                  <c:v>185000</c:v>
                </c:pt>
                <c:pt idx="3">
                  <c:v>180000</c:v>
                </c:pt>
                <c:pt idx="4">
                  <c:v>200000</c:v>
                </c:pt>
                <c:pt idx="5">
                  <c:v>215000</c:v>
                </c:pt>
                <c:pt idx="6">
                  <c:v>230000</c:v>
                </c:pt>
                <c:pt idx="7">
                  <c:v>245000</c:v>
                </c:pt>
                <c:pt idx="8">
                  <c:v>260000</c:v>
                </c:pt>
                <c:pt idx="9">
                  <c:v>275000</c:v>
                </c:pt>
                <c:pt idx="10">
                  <c:v>295000</c:v>
                </c:pt>
                <c:pt idx="11">
                  <c:v>330000</c:v>
                </c:pt>
                <c:pt idx="12">
                  <c:v>340000</c:v>
                </c:pt>
                <c:pt idx="13">
                  <c:v>355000</c:v>
                </c:pt>
                <c:pt idx="14">
                  <c:v>375000</c:v>
                </c:pt>
                <c:pt idx="15">
                  <c:v>390000</c:v>
                </c:pt>
                <c:pt idx="16">
                  <c:v>410000</c:v>
                </c:pt>
                <c:pt idx="17">
                  <c:v>430000</c:v>
                </c:pt>
                <c:pt idx="18">
                  <c:v>450000</c:v>
                </c:pt>
                <c:pt idx="19">
                  <c:v>470000</c:v>
                </c:pt>
                <c:pt idx="20">
                  <c:v>495000</c:v>
                </c:pt>
                <c:pt idx="21">
                  <c:v>520000</c:v>
                </c:pt>
                <c:pt idx="22">
                  <c:v>545000</c:v>
                </c:pt>
                <c:pt idx="23">
                  <c:v>590000</c:v>
                </c:pt>
                <c:pt idx="24">
                  <c:v>620000</c:v>
                </c:pt>
                <c:pt idx="25">
                  <c:v>650000</c:v>
                </c:pt>
                <c:pt idx="26">
                  <c:v>680000</c:v>
                </c:pt>
                <c:pt idx="27">
                  <c:v>710000</c:v>
                </c:pt>
                <c:pt idx="28">
                  <c:v>745000</c:v>
                </c:pt>
                <c:pt idx="29">
                  <c:v>780000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3-43FB-BDF6-BD5AEAA81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394303"/>
        <c:axId val="1781406783"/>
      </c:lineChart>
      <c:dateAx>
        <c:axId val="17813943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06783"/>
        <c:crosses val="autoZero"/>
        <c:auto val="1"/>
        <c:lblOffset val="100"/>
        <c:baseTimeUnit val="months"/>
      </c:dateAx>
      <c:valAx>
        <c:axId val="17814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Forecast_sales!$B$1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Forecast_sales!$B$2:$B$39</c:f>
              <c:numCache>
                <c:formatCode>General</c:formatCode>
                <c:ptCount val="38"/>
                <c:pt idx="0">
                  <c:v>150000</c:v>
                </c:pt>
                <c:pt idx="1">
                  <c:v>165000</c:v>
                </c:pt>
                <c:pt idx="2">
                  <c:v>180000</c:v>
                </c:pt>
                <c:pt idx="3">
                  <c:v>175000</c:v>
                </c:pt>
                <c:pt idx="4">
                  <c:v>195000</c:v>
                </c:pt>
                <c:pt idx="5">
                  <c:v>210000</c:v>
                </c:pt>
                <c:pt idx="6">
                  <c:v>225000</c:v>
                </c:pt>
                <c:pt idx="7">
                  <c:v>240000</c:v>
                </c:pt>
                <c:pt idx="8">
                  <c:v>300000</c:v>
                </c:pt>
                <c:pt idx="9">
                  <c:v>270000</c:v>
                </c:pt>
                <c:pt idx="10">
                  <c:v>290000</c:v>
                </c:pt>
                <c:pt idx="11">
                  <c:v>320000</c:v>
                </c:pt>
                <c:pt idx="12">
                  <c:v>335000</c:v>
                </c:pt>
                <c:pt idx="13">
                  <c:v>350000</c:v>
                </c:pt>
                <c:pt idx="14">
                  <c:v>370000</c:v>
                </c:pt>
                <c:pt idx="15">
                  <c:v>385000</c:v>
                </c:pt>
                <c:pt idx="16">
                  <c:v>405000</c:v>
                </c:pt>
                <c:pt idx="17">
                  <c:v>425000</c:v>
                </c:pt>
                <c:pt idx="18">
                  <c:v>445000</c:v>
                </c:pt>
                <c:pt idx="19">
                  <c:v>500000</c:v>
                </c:pt>
                <c:pt idx="20">
                  <c:v>490000</c:v>
                </c:pt>
                <c:pt idx="21">
                  <c:v>515000</c:v>
                </c:pt>
                <c:pt idx="22">
                  <c:v>540000</c:v>
                </c:pt>
                <c:pt idx="23">
                  <c:v>580000</c:v>
                </c:pt>
                <c:pt idx="24">
                  <c:v>610000</c:v>
                </c:pt>
                <c:pt idx="25">
                  <c:v>640000</c:v>
                </c:pt>
                <c:pt idx="26">
                  <c:v>795000</c:v>
                </c:pt>
                <c:pt idx="27">
                  <c:v>700000</c:v>
                </c:pt>
                <c:pt idx="28">
                  <c:v>735000</c:v>
                </c:pt>
                <c:pt idx="29">
                  <c:v>815000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E-4836-A81A-304B561D2FB1}"/>
            </c:ext>
          </c:extLst>
        </c:ser>
        <c:ser>
          <c:idx val="1"/>
          <c:order val="1"/>
          <c:tx>
            <c:strRef>
              <c:f>Forecast_sales!$C$1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Forecast_sales!$A$2:$A$39</c:f>
              <c:numCache>
                <c:formatCode>mmm\-yy</c:formatCode>
                <c:ptCount val="3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</c:numCache>
            </c:numRef>
          </c:cat>
          <c:val>
            <c:numRef>
              <c:f>Forecast_sales!$C$2:$C$39</c:f>
              <c:numCache>
                <c:formatCode>General</c:formatCode>
                <c:ptCount val="38"/>
                <c:pt idx="29">
                  <c:v>815000</c:v>
                </c:pt>
                <c:pt idx="30">
                  <c:v>834644.43075631151</c:v>
                </c:pt>
                <c:pt idx="31">
                  <c:v>868129.83131268225</c:v>
                </c:pt>
                <c:pt idx="32">
                  <c:v>901615.2318690531</c:v>
                </c:pt>
                <c:pt idx="33">
                  <c:v>935100.63242542383</c:v>
                </c:pt>
                <c:pt idx="34">
                  <c:v>968586.03298179456</c:v>
                </c:pt>
                <c:pt idx="35">
                  <c:v>1002071.4335381654</c:v>
                </c:pt>
                <c:pt idx="36">
                  <c:v>1035556.8340945361</c:v>
                </c:pt>
                <c:pt idx="37">
                  <c:v>1069042.2346509069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E-4836-A81A-304B561D2FB1}"/>
            </c:ext>
          </c:extLst>
        </c:ser>
        <c:ser>
          <c:idx val="2"/>
          <c:order val="2"/>
          <c:tx>
            <c:strRef>
              <c:f>Forecast_sales!$D$1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Forecast_sales!$A$2:$A$39</c:f>
              <c:numCache>
                <c:formatCode>mmm\-yy</c:formatCode>
                <c:ptCount val="3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</c:numCache>
            </c:numRef>
          </c:cat>
          <c:val>
            <c:numRef>
              <c:f>Forecast_sales!$D$2:$D$39</c:f>
              <c:numCache>
                <c:formatCode>General</c:formatCode>
                <c:ptCount val="38"/>
                <c:pt idx="29" formatCode="0.00">
                  <c:v>815000</c:v>
                </c:pt>
                <c:pt idx="30" formatCode="0.00">
                  <c:v>767055.81890164793</c:v>
                </c:pt>
                <c:pt idx="31" formatCode="0.00">
                  <c:v>783644.06649435277</c:v>
                </c:pt>
                <c:pt idx="32" formatCode="0.00">
                  <c:v>793420.66218379361</c:v>
                </c:pt>
                <c:pt idx="33" formatCode="0.00">
                  <c:v>797827.51281959366</c:v>
                </c:pt>
                <c:pt idx="34" formatCode="0.00">
                  <c:v>797933.1531809913</c:v>
                </c:pt>
                <c:pt idx="35" formatCode="0.00">
                  <c:v>794435.74171254016</c:v>
                </c:pt>
                <c:pt idx="36" formatCode="0.00">
                  <c:v>787795.93659521814</c:v>
                </c:pt>
                <c:pt idx="37" formatCode="0.00">
                  <c:v>778332.62289005192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E-4836-A81A-304B561D2FB1}"/>
            </c:ext>
          </c:extLst>
        </c:ser>
        <c:ser>
          <c:idx val="3"/>
          <c:order val="3"/>
          <c:tx>
            <c:strRef>
              <c:f>Forecast_sales!$E$1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Forecast_sales!$A$2:$A$39</c:f>
              <c:numCache>
                <c:formatCode>mmm\-yy</c:formatCode>
                <c:ptCount val="3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</c:numCache>
            </c:numRef>
          </c:cat>
          <c:val>
            <c:numRef>
              <c:f>Forecast_sales!$E$2:$E$39</c:f>
              <c:numCache>
                <c:formatCode>General</c:formatCode>
                <c:ptCount val="38"/>
                <c:pt idx="29" formatCode="0.00">
                  <c:v>815000</c:v>
                </c:pt>
                <c:pt idx="30" formatCode="0.00">
                  <c:v>902233.0426109751</c:v>
                </c:pt>
                <c:pt idx="31" formatCode="0.00">
                  <c:v>952615.59613101173</c:v>
                </c:pt>
                <c:pt idx="32" formatCode="0.00">
                  <c:v>1009809.8015543126</c:v>
                </c:pt>
                <c:pt idx="33" formatCode="0.00">
                  <c:v>1072373.7520312541</c:v>
                </c:pt>
                <c:pt idx="34" formatCode="0.00">
                  <c:v>1139238.9127825978</c:v>
                </c:pt>
                <c:pt idx="35" formatCode="0.00">
                  <c:v>1209707.1253637907</c:v>
                </c:pt>
                <c:pt idx="36" formatCode="0.00">
                  <c:v>1283317.7315938543</c:v>
                </c:pt>
                <c:pt idx="37" formatCode="0.00">
                  <c:v>1359751.8464117618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4E-4836-A81A-304B561D2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75882159"/>
        <c:axId val="1875879279"/>
      </c:lineChart>
      <c:catAx>
        <c:axId val="18758821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879279"/>
        <c:crosses val="autoZero"/>
        <c:auto val="1"/>
        <c:lblAlgn val="ctr"/>
        <c:lblOffset val="100"/>
        <c:noMultiLvlLbl val="0"/>
      </c:catAx>
      <c:valAx>
        <c:axId val="1875879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8821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CD04-47C2-9D2C-49BC865BE2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D04-47C2-9D2C-49BC865BE2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CD04-47C2-9D2C-49BC865BE27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Office</c:v>
              </c:pt>
            </c:strLit>
          </c:cat>
          <c:val>
            <c:numLit>
              <c:formatCode>General</c:formatCode>
              <c:ptCount val="3"/>
              <c:pt idx="0">
                <c:v>1018000</c:v>
              </c:pt>
              <c:pt idx="1">
                <c:v>577000</c:v>
              </c:pt>
              <c:pt idx="2">
                <c:v>492000</c:v>
              </c:pt>
            </c:numLit>
          </c:val>
          <c:extLst>
            <c:ext xmlns:c16="http://schemas.microsoft.com/office/drawing/2014/chart" uri="{C3380CC4-5D6E-409C-BE32-E72D297353CC}">
              <c16:uniqueId val="{00000000-CD04-47C2-9D2C-49BC865BE2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62673532315436"/>
          <c:y val="0.29249031222871563"/>
          <c:w val="0.17401215870913403"/>
          <c:h val="0.410157882730121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[Forcasting Sales.xlsx]Dashboard!PivotTable1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Dashboard!$AG$2:$AG$6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Dashboard!$AH$2:$AH$6</c:f>
              <c:numCache>
                <c:formatCode>General</c:formatCode>
                <c:ptCount val="4"/>
                <c:pt idx="0">
                  <c:v>2900000</c:v>
                </c:pt>
                <c:pt idx="1">
                  <c:v>3220000</c:v>
                </c:pt>
                <c:pt idx="2">
                  <c:v>3390000</c:v>
                </c:pt>
                <c:pt idx="3">
                  <c:v>2845000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1-4EFD-B419-D0B2F8311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866864"/>
        <c:axId val="134864464"/>
      </c:barChart>
      <c:catAx>
        <c:axId val="13486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4464"/>
        <c:crosses val="autoZero"/>
        <c:auto val="1"/>
        <c:lblAlgn val="ctr"/>
        <c:lblOffset val="100"/>
        <c:noMultiLvlLbl val="0"/>
      </c:catAx>
      <c:valAx>
        <c:axId val="1348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40821</xdr:colOff>
      <xdr:row>10</xdr:row>
      <xdr:rowOff>9525</xdr:rowOff>
    </xdr:from>
    <xdr:to>
      <xdr:col>9</xdr:col>
      <xdr:colOff>9524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A91ED2-323D-4ABB-AF03-8AFCFE3A4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</xdr:colOff>
      <xdr:row>10</xdr:row>
      <xdr:rowOff>0</xdr:rowOff>
    </xdr:from>
    <xdr:to>
      <xdr:col>18</xdr:col>
      <xdr:colOff>571500</xdr:colOff>
      <xdr:row>23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AFF473-04BC-40FF-B72E-10DC42EF2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27214</xdr:colOff>
      <xdr:row>24</xdr:row>
      <xdr:rowOff>81644</xdr:rowOff>
    </xdr:from>
    <xdr:to>
      <xdr:col>18</xdr:col>
      <xdr:colOff>589643</xdr:colOff>
      <xdr:row>38</xdr:row>
      <xdr:rowOff>149680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00F6E6-3980-43AA-998E-4EE832C07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40822</xdr:colOff>
      <xdr:row>24</xdr:row>
      <xdr:rowOff>108857</xdr:rowOff>
    </xdr:from>
    <xdr:to>
      <xdr:col>9</xdr:col>
      <xdr:colOff>13608</xdr:colOff>
      <xdr:row>38</xdr:row>
      <xdr:rowOff>149680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C43366-49E9-14CD-10C8-A6F91850F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88447</xdr:colOff>
      <xdr:row>10</xdr:row>
      <xdr:rowOff>29935</xdr:rowOff>
    </xdr:from>
    <xdr:to>
      <xdr:col>24</xdr:col>
      <xdr:colOff>510269</xdr:colOff>
      <xdr:row>24</xdr:row>
      <xdr:rowOff>106135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7B356-4D54-3B50-6128-E8935A3DA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Jeebraeel" refreshedDate="46183.957259953706" createdVersion="8" refreshedVersion="8" minRefreshableVersion="3" recordCount="30" xr:uid="{9C825F7C-FAE8-4958-9153-ED108592F507}">
  <cacheSource type="worksheet">
    <worksheetSource ref="A1:I31" sheet="Sales data"/>
  </cacheSource>
  <cacheFields count="9">
    <cacheField name="Month" numFmtId="17">
      <sharedItems containsSemiMixedTypes="0" containsNonDate="0" containsDate="1" containsString="0" minDate="2024-01-01T00:00:00" maxDate="2026-06-02T00:00:00"/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/>
    </cacheField>
    <cacheField name="Sales" numFmtId="0">
      <sharedItems containsSemiMixedTypes="0" containsString="0" containsNumber="1" containsInteger="1" minValue="150000" maxValue="815000"/>
    </cacheField>
    <cacheField name="Profit" numFmtId="0">
      <sharedItems containsSemiMixedTypes="0" containsString="0" containsNumber="1" containsInteger="1" minValue="25000" maxValue="133000"/>
    </cacheField>
    <cacheField name="Quantity" numFmtId="0">
      <sharedItems containsSemiMixedTypes="0" containsString="0" containsNumber="1" containsInteger="1" minValue="120" maxValue="550"/>
    </cacheField>
    <cacheField name="Customer_Count" numFmtId="0">
      <sharedItems containsSemiMixedTypes="0" containsString="0" containsNumber="1" containsInteger="1" minValue="95" maxValue="460"/>
    </cacheField>
    <cacheField name="Marketing_Spend" numFmtId="0">
      <sharedItems containsSemiMixedTypes="0" containsString="0" containsNumber="1" containsInteger="1" minValue="12000" maxValue="44000"/>
    </cacheField>
    <cacheField name="Sales_Target" numFmtId="0">
      <sharedItems containsSemiMixedTypes="0" containsString="0" containsNumber="1" containsInteger="1" minValue="160000" maxValue="7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4-01-01T00:00:00"/>
    <x v="0"/>
    <s v="Electronics"/>
    <n v="150000"/>
    <n v="25000"/>
    <n v="120"/>
    <n v="95"/>
    <n v="12000"/>
    <n v="160000"/>
  </r>
  <r>
    <d v="2024-02-01T00:00:00"/>
    <x v="1"/>
    <s v="Furniture"/>
    <n v="165000"/>
    <n v="28000"/>
    <n v="130"/>
    <n v="102"/>
    <n v="13000"/>
    <n v="170000"/>
  </r>
  <r>
    <d v="2024-03-01T00:00:00"/>
    <x v="2"/>
    <s v="Electronics"/>
    <n v="180000"/>
    <n v="30000"/>
    <n v="145"/>
    <n v="115"/>
    <n v="14000"/>
    <n v="185000"/>
  </r>
  <r>
    <d v="2024-04-01T00:00:00"/>
    <x v="3"/>
    <s v="Office"/>
    <n v="175000"/>
    <n v="27000"/>
    <n v="140"/>
    <n v="110"/>
    <n v="13500"/>
    <n v="180000"/>
  </r>
  <r>
    <d v="2024-05-01T00:00:00"/>
    <x v="0"/>
    <s v="Electronics"/>
    <n v="195000"/>
    <n v="34000"/>
    <n v="155"/>
    <n v="125"/>
    <n v="15000"/>
    <n v="200000"/>
  </r>
  <r>
    <d v="2024-06-01T00:00:00"/>
    <x v="1"/>
    <s v="Furniture"/>
    <n v="210000"/>
    <n v="36000"/>
    <n v="165"/>
    <n v="135"/>
    <n v="16000"/>
    <n v="215000"/>
  </r>
  <r>
    <d v="2024-07-01T00:00:00"/>
    <x v="2"/>
    <s v="Electronics"/>
    <n v="225000"/>
    <n v="39000"/>
    <n v="175"/>
    <n v="145"/>
    <n v="17000"/>
    <n v="230000"/>
  </r>
  <r>
    <d v="2024-08-01T00:00:00"/>
    <x v="3"/>
    <s v="Office"/>
    <n v="240000"/>
    <n v="41000"/>
    <n v="185"/>
    <n v="155"/>
    <n v="18000"/>
    <n v="245000"/>
  </r>
  <r>
    <d v="2024-09-01T00:00:00"/>
    <x v="0"/>
    <s v="Electronics"/>
    <n v="300000"/>
    <n v="44000"/>
    <n v="195"/>
    <n v="165"/>
    <n v="19000"/>
    <n v="260000"/>
  </r>
  <r>
    <d v="2024-10-01T00:00:00"/>
    <x v="1"/>
    <s v="Furniture"/>
    <n v="270000"/>
    <n v="47000"/>
    <n v="205"/>
    <n v="175"/>
    <n v="20000"/>
    <n v="275000"/>
  </r>
  <r>
    <d v="2024-11-01T00:00:00"/>
    <x v="2"/>
    <s v="Electronics"/>
    <n v="290000"/>
    <n v="50000"/>
    <n v="220"/>
    <n v="185"/>
    <n v="21000"/>
    <n v="295000"/>
  </r>
  <r>
    <d v="2024-12-01T00:00:00"/>
    <x v="3"/>
    <s v="Office"/>
    <n v="320000"/>
    <n v="55000"/>
    <n v="240"/>
    <n v="200"/>
    <n v="23000"/>
    <n v="330000"/>
  </r>
  <r>
    <d v="2025-01-01T00:00:00"/>
    <x v="0"/>
    <s v="Electronics"/>
    <n v="335000"/>
    <n v="58000"/>
    <n v="250"/>
    <n v="210"/>
    <n v="24000"/>
    <n v="340000"/>
  </r>
  <r>
    <d v="2025-02-01T00:00:00"/>
    <x v="1"/>
    <s v="Furniture"/>
    <n v="350000"/>
    <n v="60000"/>
    <n v="260"/>
    <n v="220"/>
    <n v="25000"/>
    <n v="355000"/>
  </r>
  <r>
    <d v="2025-03-01T00:00:00"/>
    <x v="2"/>
    <s v="Electronics"/>
    <n v="370000"/>
    <n v="64000"/>
    <n v="275"/>
    <n v="230"/>
    <n v="26000"/>
    <n v="375000"/>
  </r>
  <r>
    <d v="2025-04-01T00:00:00"/>
    <x v="3"/>
    <s v="Office"/>
    <n v="385000"/>
    <n v="67000"/>
    <n v="285"/>
    <n v="240"/>
    <n v="27000"/>
    <n v="390000"/>
  </r>
  <r>
    <d v="2025-05-01T00:00:00"/>
    <x v="0"/>
    <s v="Electronics"/>
    <n v="405000"/>
    <n v="70000"/>
    <n v="300"/>
    <n v="250"/>
    <n v="28000"/>
    <n v="410000"/>
  </r>
  <r>
    <d v="2025-06-01T00:00:00"/>
    <x v="1"/>
    <s v="Furniture"/>
    <n v="425000"/>
    <n v="74000"/>
    <n v="315"/>
    <n v="265"/>
    <n v="29000"/>
    <n v="430000"/>
  </r>
  <r>
    <d v="2025-07-01T00:00:00"/>
    <x v="2"/>
    <s v="Electronics"/>
    <n v="445000"/>
    <n v="78000"/>
    <n v="330"/>
    <n v="280"/>
    <n v="30000"/>
    <n v="450000"/>
  </r>
  <r>
    <d v="2025-08-01T00:00:00"/>
    <x v="3"/>
    <s v="Office"/>
    <n v="500000"/>
    <n v="81000"/>
    <n v="345"/>
    <n v="295"/>
    <n v="31000"/>
    <n v="470000"/>
  </r>
  <r>
    <d v="2025-09-01T00:00:00"/>
    <x v="0"/>
    <s v="Electronics"/>
    <n v="490000"/>
    <n v="85000"/>
    <n v="360"/>
    <n v="310"/>
    <n v="32000"/>
    <n v="495000"/>
  </r>
  <r>
    <d v="2025-10-01T00:00:00"/>
    <x v="1"/>
    <s v="Furniture"/>
    <n v="515000"/>
    <n v="89000"/>
    <n v="380"/>
    <n v="325"/>
    <n v="33000"/>
    <n v="520000"/>
  </r>
  <r>
    <d v="2025-11-01T00:00:00"/>
    <x v="2"/>
    <s v="Electronics"/>
    <n v="540000"/>
    <n v="93000"/>
    <n v="395"/>
    <n v="340"/>
    <n v="34000"/>
    <n v="545000"/>
  </r>
  <r>
    <d v="2025-12-01T00:00:00"/>
    <x v="3"/>
    <s v="Office"/>
    <n v="580000"/>
    <n v="100000"/>
    <n v="420"/>
    <n v="360"/>
    <n v="36000"/>
    <n v="590000"/>
  </r>
  <r>
    <d v="2026-01-01T00:00:00"/>
    <x v="0"/>
    <s v="Electronics"/>
    <n v="610000"/>
    <n v="105000"/>
    <n v="440"/>
    <n v="375"/>
    <n v="37000"/>
    <n v="620000"/>
  </r>
  <r>
    <d v="2026-02-01T00:00:00"/>
    <x v="1"/>
    <s v="Furniture"/>
    <n v="640000"/>
    <n v="110000"/>
    <n v="460"/>
    <n v="390"/>
    <n v="38000"/>
    <n v="650000"/>
  </r>
  <r>
    <d v="2026-03-01T00:00:00"/>
    <x v="2"/>
    <s v="Electronics"/>
    <n v="795000"/>
    <n v="116000"/>
    <n v="480"/>
    <n v="405"/>
    <n v="39000"/>
    <n v="680000"/>
  </r>
  <r>
    <d v="2026-04-01T00:00:00"/>
    <x v="3"/>
    <s v="Office"/>
    <n v="700000"/>
    <n v="121000"/>
    <n v="500"/>
    <n v="420"/>
    <n v="40000"/>
    <n v="710000"/>
  </r>
  <r>
    <d v="2026-05-01T00:00:00"/>
    <x v="0"/>
    <s v="Electronics"/>
    <n v="735000"/>
    <n v="127000"/>
    <n v="525"/>
    <n v="440"/>
    <n v="42000"/>
    <n v="745000"/>
  </r>
  <r>
    <d v="2026-06-01T00:00:00"/>
    <x v="1"/>
    <s v="Furniture"/>
    <n v="815000"/>
    <n v="133000"/>
    <n v="550"/>
    <n v="460"/>
    <n v="44000"/>
    <n v="7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9AF92-2B9F-44B9-B220-DD3FE9A90BE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G1:AH6" firstHeaderRow="1" firstDataRow="1" firstDataCol="1"/>
  <pivotFields count="9">
    <pivotField numFmtId="17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C0046-92D6-46D7-AE00-659587770AD7}" name="Table1" displayName="Table1" ref="A1:E39" totalsRowShown="0">
  <autoFilter ref="A1:E39" xr:uid="{812C0046-92D6-46D7-AE00-659587770AD7}"/>
  <tableColumns count="5">
    <tableColumn id="1" xr3:uid="{0F531701-9FC8-4554-BE40-DF54F74B6E47}" name="Month" dataDxfId="2"/>
    <tableColumn id="2" xr3:uid="{C29A5CAC-1F84-4200-8C76-D06B9863DAD0}" name="Sales"/>
    <tableColumn id="3" xr3:uid="{63EE6347-5137-46C0-BE58-207CD16D3BA6}" name="Forecast(Sales)">
      <calculatedColumnFormula>_xlfn.FORECAST.ETS(A2,$B$2:$B$31,$A$2:$A$31,1,1)</calculatedColumnFormula>
    </tableColumn>
    <tableColumn id="4" xr3:uid="{CCC2AFD7-9E94-42E5-89F6-2AE2F9ECE4BC}" name="Lower Confidence Bound(Sales)" dataDxfId="1">
      <calculatedColumnFormula>C2-_xlfn.FORECAST.ETS.CONFINT(A2,$B$2:$B$31,$A$2:$A$31,0.95,1,1)</calculatedColumnFormula>
    </tableColumn>
    <tableColumn id="5" xr3:uid="{E944FE47-5B0B-483C-AA64-573BF7ED4302}" name="Upper Confidence Bound(Sales)" dataDxfId="0">
      <calculatedColumnFormula>C2+_xlfn.FORECAST.ETS.CONFINT(A2,$B$2:$B$31,$A$2:$A$31,0.95,1,1)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177E-9210-47D9-A9C3-26B925F521FC}">
  <dimension ref="A1:I31"/>
  <sheetViews>
    <sheetView workbookViewId="0">
      <selection activeCell="L9" sqref="L9"/>
    </sheetView>
  </sheetViews>
  <sheetFormatPr defaultRowHeight="15" x14ac:dyDescent="0.25"/>
  <cols>
    <col min="1" max="1" width="12.140625" style="7" customWidth="1"/>
    <col min="2" max="2" width="12" customWidth="1"/>
    <col min="3" max="3" width="15.140625" customWidth="1"/>
    <col min="4" max="4" width="10" style="5" customWidth="1"/>
    <col min="5" max="5" width="9.42578125" style="5" customWidth="1"/>
    <col min="6" max="6" width="11.28515625" style="5" bestFit="1" customWidth="1"/>
    <col min="7" max="7" width="20.5703125" style="5" bestFit="1" customWidth="1"/>
    <col min="8" max="8" width="21.85546875" style="5" bestFit="1" customWidth="1"/>
    <col min="9" max="9" width="15.85546875" style="5" bestFit="1" customWidth="1"/>
  </cols>
  <sheetData>
    <row r="1" spans="1:9" s="3" customFormat="1" ht="24.75" customHeigh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x14ac:dyDescent="0.25">
      <c r="A2" s="6">
        <v>45292</v>
      </c>
      <c r="B2" s="2" t="s">
        <v>9</v>
      </c>
      <c r="C2" s="2" t="s">
        <v>10</v>
      </c>
      <c r="D2" s="4">
        <v>150000</v>
      </c>
      <c r="E2" s="4">
        <v>25000</v>
      </c>
      <c r="F2" s="4">
        <v>120</v>
      </c>
      <c r="G2" s="4">
        <v>95</v>
      </c>
      <c r="H2" s="4">
        <v>12000</v>
      </c>
      <c r="I2" s="4">
        <v>160000</v>
      </c>
    </row>
    <row r="3" spans="1:9" x14ac:dyDescent="0.25">
      <c r="A3" s="6">
        <v>45323</v>
      </c>
      <c r="B3" s="2" t="s">
        <v>11</v>
      </c>
      <c r="C3" s="2" t="s">
        <v>12</v>
      </c>
      <c r="D3" s="4">
        <v>165000</v>
      </c>
      <c r="E3" s="4">
        <v>28000</v>
      </c>
      <c r="F3" s="4">
        <v>130</v>
      </c>
      <c r="G3" s="4">
        <v>102</v>
      </c>
      <c r="H3" s="4">
        <v>13000</v>
      </c>
      <c r="I3" s="4">
        <v>170000</v>
      </c>
    </row>
    <row r="4" spans="1:9" x14ac:dyDescent="0.25">
      <c r="A4" s="6">
        <v>45352</v>
      </c>
      <c r="B4" s="2" t="s">
        <v>13</v>
      </c>
      <c r="C4" s="2" t="s">
        <v>10</v>
      </c>
      <c r="D4" s="4">
        <v>180000</v>
      </c>
      <c r="E4" s="4">
        <v>30000</v>
      </c>
      <c r="F4" s="4">
        <v>145</v>
      </c>
      <c r="G4" s="4">
        <v>115</v>
      </c>
      <c r="H4" s="4">
        <v>14000</v>
      </c>
      <c r="I4" s="4">
        <v>185000</v>
      </c>
    </row>
    <row r="5" spans="1:9" x14ac:dyDescent="0.25">
      <c r="A5" s="6">
        <v>45383</v>
      </c>
      <c r="B5" s="2" t="s">
        <v>14</v>
      </c>
      <c r="C5" s="2" t="s">
        <v>15</v>
      </c>
      <c r="D5" s="4">
        <v>175000</v>
      </c>
      <c r="E5" s="4">
        <v>27000</v>
      </c>
      <c r="F5" s="4">
        <v>140</v>
      </c>
      <c r="G5" s="4">
        <v>110</v>
      </c>
      <c r="H5" s="4">
        <v>13500</v>
      </c>
      <c r="I5" s="4">
        <v>180000</v>
      </c>
    </row>
    <row r="6" spans="1:9" x14ac:dyDescent="0.25">
      <c r="A6" s="6">
        <v>45413</v>
      </c>
      <c r="B6" s="2" t="s">
        <v>9</v>
      </c>
      <c r="C6" s="2" t="s">
        <v>10</v>
      </c>
      <c r="D6" s="4">
        <v>195000</v>
      </c>
      <c r="E6" s="4">
        <v>34000</v>
      </c>
      <c r="F6" s="4">
        <v>155</v>
      </c>
      <c r="G6" s="4">
        <v>125</v>
      </c>
      <c r="H6" s="4">
        <v>15000</v>
      </c>
      <c r="I6" s="4">
        <v>200000</v>
      </c>
    </row>
    <row r="7" spans="1:9" x14ac:dyDescent="0.25">
      <c r="A7" s="6">
        <v>45444</v>
      </c>
      <c r="B7" s="2" t="s">
        <v>11</v>
      </c>
      <c r="C7" s="2" t="s">
        <v>12</v>
      </c>
      <c r="D7" s="4">
        <v>210000</v>
      </c>
      <c r="E7" s="4">
        <v>36000</v>
      </c>
      <c r="F7" s="4">
        <v>165</v>
      </c>
      <c r="G7" s="4">
        <v>135</v>
      </c>
      <c r="H7" s="4">
        <v>16000</v>
      </c>
      <c r="I7" s="4">
        <v>215000</v>
      </c>
    </row>
    <row r="8" spans="1:9" x14ac:dyDescent="0.25">
      <c r="A8" s="6">
        <v>45474</v>
      </c>
      <c r="B8" s="2" t="s">
        <v>13</v>
      </c>
      <c r="C8" s="2" t="s">
        <v>10</v>
      </c>
      <c r="D8" s="4">
        <v>225000</v>
      </c>
      <c r="E8" s="4">
        <v>39000</v>
      </c>
      <c r="F8" s="4">
        <v>175</v>
      </c>
      <c r="G8" s="4">
        <v>145</v>
      </c>
      <c r="H8" s="4">
        <v>17000</v>
      </c>
      <c r="I8" s="4">
        <v>230000</v>
      </c>
    </row>
    <row r="9" spans="1:9" x14ac:dyDescent="0.25">
      <c r="A9" s="6">
        <v>45505</v>
      </c>
      <c r="B9" s="2" t="s">
        <v>14</v>
      </c>
      <c r="C9" s="2" t="s">
        <v>15</v>
      </c>
      <c r="D9" s="4">
        <v>240000</v>
      </c>
      <c r="E9" s="4">
        <v>41000</v>
      </c>
      <c r="F9" s="4">
        <v>185</v>
      </c>
      <c r="G9" s="4">
        <v>155</v>
      </c>
      <c r="H9" s="4">
        <v>18000</v>
      </c>
      <c r="I9" s="4">
        <v>245000</v>
      </c>
    </row>
    <row r="10" spans="1:9" x14ac:dyDescent="0.25">
      <c r="A10" s="6">
        <v>45536</v>
      </c>
      <c r="B10" s="2" t="s">
        <v>9</v>
      </c>
      <c r="C10" s="2" t="s">
        <v>10</v>
      </c>
      <c r="D10" s="4">
        <v>300000</v>
      </c>
      <c r="E10" s="4">
        <v>44000</v>
      </c>
      <c r="F10" s="4">
        <v>195</v>
      </c>
      <c r="G10" s="4">
        <v>165</v>
      </c>
      <c r="H10" s="4">
        <v>19000</v>
      </c>
      <c r="I10" s="4">
        <v>260000</v>
      </c>
    </row>
    <row r="11" spans="1:9" x14ac:dyDescent="0.25">
      <c r="A11" s="6">
        <v>45566</v>
      </c>
      <c r="B11" s="2" t="s">
        <v>11</v>
      </c>
      <c r="C11" s="2" t="s">
        <v>12</v>
      </c>
      <c r="D11" s="4">
        <v>270000</v>
      </c>
      <c r="E11" s="4">
        <v>47000</v>
      </c>
      <c r="F11" s="4">
        <v>205</v>
      </c>
      <c r="G11" s="4">
        <v>175</v>
      </c>
      <c r="H11" s="4">
        <v>20000</v>
      </c>
      <c r="I11" s="4">
        <v>275000</v>
      </c>
    </row>
    <row r="12" spans="1:9" x14ac:dyDescent="0.25">
      <c r="A12" s="6">
        <v>45597</v>
      </c>
      <c r="B12" s="2" t="s">
        <v>13</v>
      </c>
      <c r="C12" s="2" t="s">
        <v>10</v>
      </c>
      <c r="D12" s="4">
        <v>290000</v>
      </c>
      <c r="E12" s="4">
        <v>50000</v>
      </c>
      <c r="F12" s="4">
        <v>220</v>
      </c>
      <c r="G12" s="4">
        <v>185</v>
      </c>
      <c r="H12" s="4">
        <v>21000</v>
      </c>
      <c r="I12" s="4">
        <v>295000</v>
      </c>
    </row>
    <row r="13" spans="1:9" x14ac:dyDescent="0.25">
      <c r="A13" s="6">
        <v>45627</v>
      </c>
      <c r="B13" s="2" t="s">
        <v>14</v>
      </c>
      <c r="C13" s="2" t="s">
        <v>15</v>
      </c>
      <c r="D13" s="4">
        <v>320000</v>
      </c>
      <c r="E13" s="4">
        <v>55000</v>
      </c>
      <c r="F13" s="4">
        <v>240</v>
      </c>
      <c r="G13" s="4">
        <v>200</v>
      </c>
      <c r="H13" s="4">
        <v>23000</v>
      </c>
      <c r="I13" s="4">
        <v>330000</v>
      </c>
    </row>
    <row r="14" spans="1:9" x14ac:dyDescent="0.25">
      <c r="A14" s="6">
        <v>45658</v>
      </c>
      <c r="B14" s="2" t="s">
        <v>9</v>
      </c>
      <c r="C14" s="2" t="s">
        <v>10</v>
      </c>
      <c r="D14" s="4">
        <v>335000</v>
      </c>
      <c r="E14" s="4">
        <v>58000</v>
      </c>
      <c r="F14" s="4">
        <v>250</v>
      </c>
      <c r="G14" s="4">
        <v>210</v>
      </c>
      <c r="H14" s="4">
        <v>24000</v>
      </c>
      <c r="I14" s="4">
        <v>340000</v>
      </c>
    </row>
    <row r="15" spans="1:9" x14ac:dyDescent="0.25">
      <c r="A15" s="6">
        <v>45689</v>
      </c>
      <c r="B15" s="2" t="s">
        <v>11</v>
      </c>
      <c r="C15" s="2" t="s">
        <v>12</v>
      </c>
      <c r="D15" s="4">
        <v>350000</v>
      </c>
      <c r="E15" s="4">
        <v>60000</v>
      </c>
      <c r="F15" s="4">
        <v>260</v>
      </c>
      <c r="G15" s="4">
        <v>220</v>
      </c>
      <c r="H15" s="4">
        <v>25000</v>
      </c>
      <c r="I15" s="4">
        <v>355000</v>
      </c>
    </row>
    <row r="16" spans="1:9" x14ac:dyDescent="0.25">
      <c r="A16" s="6">
        <v>45717</v>
      </c>
      <c r="B16" s="2" t="s">
        <v>13</v>
      </c>
      <c r="C16" s="2" t="s">
        <v>10</v>
      </c>
      <c r="D16" s="4">
        <v>370000</v>
      </c>
      <c r="E16" s="4">
        <v>64000</v>
      </c>
      <c r="F16" s="4">
        <v>275</v>
      </c>
      <c r="G16" s="4">
        <v>230</v>
      </c>
      <c r="H16" s="4">
        <v>26000</v>
      </c>
      <c r="I16" s="4">
        <v>375000</v>
      </c>
    </row>
    <row r="17" spans="1:9" x14ac:dyDescent="0.25">
      <c r="A17" s="6">
        <v>45748</v>
      </c>
      <c r="B17" s="2" t="s">
        <v>14</v>
      </c>
      <c r="C17" s="2" t="s">
        <v>15</v>
      </c>
      <c r="D17" s="4">
        <v>385000</v>
      </c>
      <c r="E17" s="4">
        <v>67000</v>
      </c>
      <c r="F17" s="4">
        <v>285</v>
      </c>
      <c r="G17" s="4">
        <v>240</v>
      </c>
      <c r="H17" s="4">
        <v>27000</v>
      </c>
      <c r="I17" s="4">
        <v>390000</v>
      </c>
    </row>
    <row r="18" spans="1:9" x14ac:dyDescent="0.25">
      <c r="A18" s="6">
        <v>45778</v>
      </c>
      <c r="B18" s="2" t="s">
        <v>9</v>
      </c>
      <c r="C18" s="2" t="s">
        <v>10</v>
      </c>
      <c r="D18" s="4">
        <v>405000</v>
      </c>
      <c r="E18" s="4">
        <v>70000</v>
      </c>
      <c r="F18" s="4">
        <v>300</v>
      </c>
      <c r="G18" s="4">
        <v>250</v>
      </c>
      <c r="H18" s="4">
        <v>28000</v>
      </c>
      <c r="I18" s="4">
        <v>410000</v>
      </c>
    </row>
    <row r="19" spans="1:9" x14ac:dyDescent="0.25">
      <c r="A19" s="6">
        <v>45809</v>
      </c>
      <c r="B19" s="2" t="s">
        <v>11</v>
      </c>
      <c r="C19" s="2" t="s">
        <v>12</v>
      </c>
      <c r="D19" s="4">
        <v>425000</v>
      </c>
      <c r="E19" s="4">
        <v>74000</v>
      </c>
      <c r="F19" s="4">
        <v>315</v>
      </c>
      <c r="G19" s="4">
        <v>265</v>
      </c>
      <c r="H19" s="4">
        <v>29000</v>
      </c>
      <c r="I19" s="4">
        <v>430000</v>
      </c>
    </row>
    <row r="20" spans="1:9" x14ac:dyDescent="0.25">
      <c r="A20" s="6">
        <v>45839</v>
      </c>
      <c r="B20" s="2" t="s">
        <v>13</v>
      </c>
      <c r="C20" s="2" t="s">
        <v>10</v>
      </c>
      <c r="D20" s="4">
        <v>445000</v>
      </c>
      <c r="E20" s="4">
        <v>78000</v>
      </c>
      <c r="F20" s="4">
        <v>330</v>
      </c>
      <c r="G20" s="4">
        <v>280</v>
      </c>
      <c r="H20" s="4">
        <v>30000</v>
      </c>
      <c r="I20" s="4">
        <v>450000</v>
      </c>
    </row>
    <row r="21" spans="1:9" x14ac:dyDescent="0.25">
      <c r="A21" s="6">
        <v>45870</v>
      </c>
      <c r="B21" s="2" t="s">
        <v>14</v>
      </c>
      <c r="C21" s="2" t="s">
        <v>15</v>
      </c>
      <c r="D21" s="4">
        <v>500000</v>
      </c>
      <c r="E21" s="4">
        <v>81000</v>
      </c>
      <c r="F21" s="4">
        <v>345</v>
      </c>
      <c r="G21" s="4">
        <v>295</v>
      </c>
      <c r="H21" s="4">
        <v>31000</v>
      </c>
      <c r="I21" s="4">
        <v>470000</v>
      </c>
    </row>
    <row r="22" spans="1:9" x14ac:dyDescent="0.25">
      <c r="A22" s="6">
        <v>45901</v>
      </c>
      <c r="B22" s="2" t="s">
        <v>9</v>
      </c>
      <c r="C22" s="2" t="s">
        <v>10</v>
      </c>
      <c r="D22" s="4">
        <v>490000</v>
      </c>
      <c r="E22" s="4">
        <v>85000</v>
      </c>
      <c r="F22" s="4">
        <v>360</v>
      </c>
      <c r="G22" s="4">
        <v>310</v>
      </c>
      <c r="H22" s="4">
        <v>32000</v>
      </c>
      <c r="I22" s="4">
        <v>495000</v>
      </c>
    </row>
    <row r="23" spans="1:9" x14ac:dyDescent="0.25">
      <c r="A23" s="6">
        <v>45931</v>
      </c>
      <c r="B23" s="2" t="s">
        <v>11</v>
      </c>
      <c r="C23" s="2" t="s">
        <v>12</v>
      </c>
      <c r="D23" s="4">
        <v>515000</v>
      </c>
      <c r="E23" s="4">
        <v>89000</v>
      </c>
      <c r="F23" s="4">
        <v>380</v>
      </c>
      <c r="G23" s="4">
        <v>325</v>
      </c>
      <c r="H23" s="4">
        <v>33000</v>
      </c>
      <c r="I23" s="4">
        <v>520000</v>
      </c>
    </row>
    <row r="24" spans="1:9" x14ac:dyDescent="0.25">
      <c r="A24" s="6">
        <v>45962</v>
      </c>
      <c r="B24" s="2" t="s">
        <v>13</v>
      </c>
      <c r="C24" s="2" t="s">
        <v>10</v>
      </c>
      <c r="D24" s="4">
        <v>540000</v>
      </c>
      <c r="E24" s="4">
        <v>93000</v>
      </c>
      <c r="F24" s="4">
        <v>395</v>
      </c>
      <c r="G24" s="4">
        <v>340</v>
      </c>
      <c r="H24" s="4">
        <v>34000</v>
      </c>
      <c r="I24" s="4">
        <v>545000</v>
      </c>
    </row>
    <row r="25" spans="1:9" x14ac:dyDescent="0.25">
      <c r="A25" s="6">
        <v>45992</v>
      </c>
      <c r="B25" s="2" t="s">
        <v>14</v>
      </c>
      <c r="C25" s="2" t="s">
        <v>15</v>
      </c>
      <c r="D25" s="4">
        <v>580000</v>
      </c>
      <c r="E25" s="4">
        <v>100000</v>
      </c>
      <c r="F25" s="4">
        <v>420</v>
      </c>
      <c r="G25" s="4">
        <v>360</v>
      </c>
      <c r="H25" s="4">
        <v>36000</v>
      </c>
      <c r="I25" s="4">
        <v>590000</v>
      </c>
    </row>
    <row r="26" spans="1:9" x14ac:dyDescent="0.25">
      <c r="A26" s="6">
        <v>46023</v>
      </c>
      <c r="B26" s="2" t="s">
        <v>9</v>
      </c>
      <c r="C26" s="2" t="s">
        <v>10</v>
      </c>
      <c r="D26" s="4">
        <v>610000</v>
      </c>
      <c r="E26" s="4">
        <v>105000</v>
      </c>
      <c r="F26" s="4">
        <v>440</v>
      </c>
      <c r="G26" s="4">
        <v>375</v>
      </c>
      <c r="H26" s="4">
        <v>37000</v>
      </c>
      <c r="I26" s="4">
        <v>620000</v>
      </c>
    </row>
    <row r="27" spans="1:9" x14ac:dyDescent="0.25">
      <c r="A27" s="6">
        <v>46054</v>
      </c>
      <c r="B27" s="2" t="s">
        <v>11</v>
      </c>
      <c r="C27" s="2" t="s">
        <v>12</v>
      </c>
      <c r="D27" s="4">
        <v>640000</v>
      </c>
      <c r="E27" s="4">
        <v>110000</v>
      </c>
      <c r="F27" s="4">
        <v>460</v>
      </c>
      <c r="G27" s="4">
        <v>390</v>
      </c>
      <c r="H27" s="4">
        <v>38000</v>
      </c>
      <c r="I27" s="4">
        <v>650000</v>
      </c>
    </row>
    <row r="28" spans="1:9" x14ac:dyDescent="0.25">
      <c r="A28" s="6">
        <v>46082</v>
      </c>
      <c r="B28" s="2" t="s">
        <v>13</v>
      </c>
      <c r="C28" s="2" t="s">
        <v>10</v>
      </c>
      <c r="D28" s="4">
        <v>795000</v>
      </c>
      <c r="E28" s="4">
        <v>116000</v>
      </c>
      <c r="F28" s="4">
        <v>480</v>
      </c>
      <c r="G28" s="4">
        <v>405</v>
      </c>
      <c r="H28" s="4">
        <v>39000</v>
      </c>
      <c r="I28" s="4">
        <v>680000</v>
      </c>
    </row>
    <row r="29" spans="1:9" x14ac:dyDescent="0.25">
      <c r="A29" s="6">
        <v>46113</v>
      </c>
      <c r="B29" s="2" t="s">
        <v>14</v>
      </c>
      <c r="C29" s="2" t="s">
        <v>15</v>
      </c>
      <c r="D29" s="4">
        <v>700000</v>
      </c>
      <c r="E29" s="4">
        <v>121000</v>
      </c>
      <c r="F29" s="4">
        <v>500</v>
      </c>
      <c r="G29" s="4">
        <v>420</v>
      </c>
      <c r="H29" s="4">
        <v>40000</v>
      </c>
      <c r="I29" s="4">
        <v>710000</v>
      </c>
    </row>
    <row r="30" spans="1:9" x14ac:dyDescent="0.25">
      <c r="A30" s="6">
        <v>46143</v>
      </c>
      <c r="B30" s="2" t="s">
        <v>9</v>
      </c>
      <c r="C30" s="2" t="s">
        <v>10</v>
      </c>
      <c r="D30" s="4">
        <v>735000</v>
      </c>
      <c r="E30" s="4">
        <v>127000</v>
      </c>
      <c r="F30" s="4">
        <v>525</v>
      </c>
      <c r="G30" s="4">
        <v>440</v>
      </c>
      <c r="H30" s="4">
        <v>42000</v>
      </c>
      <c r="I30" s="4">
        <v>745000</v>
      </c>
    </row>
    <row r="31" spans="1:9" x14ac:dyDescent="0.25">
      <c r="A31" s="6">
        <v>46174</v>
      </c>
      <c r="B31" s="2" t="s">
        <v>11</v>
      </c>
      <c r="C31" s="2" t="s">
        <v>12</v>
      </c>
      <c r="D31" s="4">
        <v>815000</v>
      </c>
      <c r="E31" s="4">
        <v>133000</v>
      </c>
      <c r="F31" s="4">
        <v>550</v>
      </c>
      <c r="G31" s="4">
        <v>460</v>
      </c>
      <c r="H31" s="4">
        <v>44000</v>
      </c>
      <c r="I31" s="4">
        <v>780000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909B-F7D6-4F30-BBA2-E3843EC8CEE5}">
  <dimension ref="B1:AH39"/>
  <sheetViews>
    <sheetView showGridLines="0" tabSelected="1" zoomScale="70" zoomScaleNormal="70" workbookViewId="0">
      <selection activeCell="V30" sqref="V30"/>
    </sheetView>
  </sheetViews>
  <sheetFormatPr defaultRowHeight="15" x14ac:dyDescent="0.25"/>
  <cols>
    <col min="1" max="1" width="4.5703125" customWidth="1"/>
    <col min="10" max="10" width="4.85546875" customWidth="1"/>
    <col min="11" max="11" width="21" customWidth="1"/>
    <col min="12" max="12" width="20.28515625" bestFit="1" customWidth="1"/>
    <col min="13" max="13" width="6.140625" customWidth="1"/>
    <col min="14" max="14" width="7.28515625" customWidth="1"/>
    <col min="15" max="15" width="21.7109375" customWidth="1"/>
    <col min="20" max="20" width="17.85546875" bestFit="1" customWidth="1"/>
    <col min="21" max="21" width="16.7109375" bestFit="1" customWidth="1"/>
  </cols>
  <sheetData>
    <row r="1" spans="2:34" x14ac:dyDescent="0.25">
      <c r="AG1" s="22" t="s">
        <v>25</v>
      </c>
      <c r="AH1" t="s">
        <v>27</v>
      </c>
    </row>
    <row r="2" spans="2:34" ht="21" customHeight="1" x14ac:dyDescent="0.25">
      <c r="B2" s="16" t="s">
        <v>24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AG2" s="7" t="s">
        <v>14</v>
      </c>
      <c r="AH2" s="23">
        <v>2900000</v>
      </c>
    </row>
    <row r="3" spans="2:34" ht="27.75" customHeight="1" x14ac:dyDescent="0.25">
      <c r="B3" s="19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0"/>
      <c r="AG3" s="7" t="s">
        <v>9</v>
      </c>
      <c r="AH3" s="23">
        <v>3220000</v>
      </c>
    </row>
    <row r="4" spans="2:34" s="2" customFormat="1" ht="21" customHeight="1" x14ac:dyDescent="0.25">
      <c r="B4" s="21" t="s">
        <v>22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6"/>
      <c r="AG4" s="7" t="s">
        <v>11</v>
      </c>
      <c r="AH4" s="23">
        <v>3390000</v>
      </c>
    </row>
    <row r="5" spans="2:34" x14ac:dyDescent="0.25">
      <c r="B5" s="9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10"/>
      <c r="AG5" s="7" t="s">
        <v>13</v>
      </c>
      <c r="AH5" s="23">
        <v>2845000</v>
      </c>
    </row>
    <row r="6" spans="2:34" ht="23.25" x14ac:dyDescent="0.35">
      <c r="B6" s="9"/>
      <c r="C6" s="27"/>
      <c r="D6" s="27"/>
      <c r="E6" s="27"/>
      <c r="F6" s="27"/>
      <c r="G6" s="27"/>
      <c r="H6" s="27"/>
      <c r="L6" s="31" t="s">
        <v>19</v>
      </c>
      <c r="M6" s="31"/>
      <c r="N6" s="31"/>
      <c r="O6" s="28">
        <f>SUM('Sales data'!D2:D31)</f>
        <v>12355000</v>
      </c>
      <c r="Q6" s="27"/>
      <c r="R6" s="27"/>
      <c r="S6" s="27"/>
      <c r="T6" s="27"/>
      <c r="U6" s="27"/>
      <c r="V6" s="27"/>
      <c r="W6" s="27"/>
      <c r="X6" s="27"/>
      <c r="Y6" s="10"/>
      <c r="AG6" s="7" t="s">
        <v>26</v>
      </c>
      <c r="AH6" s="23">
        <v>12355000</v>
      </c>
    </row>
    <row r="7" spans="2:34" ht="23.25" x14ac:dyDescent="0.35">
      <c r="B7" s="9"/>
      <c r="C7" s="27"/>
      <c r="D7" s="27"/>
      <c r="E7" s="27"/>
      <c r="F7" s="27"/>
      <c r="G7" s="27"/>
      <c r="H7" s="27"/>
      <c r="L7" s="32" t="s">
        <v>20</v>
      </c>
      <c r="M7" s="32"/>
      <c r="N7" s="32"/>
      <c r="O7" s="29">
        <f>SUM('Sales data'!E2:E31)</f>
        <v>2087000</v>
      </c>
      <c r="Q7" s="27"/>
      <c r="R7" s="27"/>
      <c r="S7" s="27"/>
      <c r="T7" s="27"/>
      <c r="U7" s="27"/>
      <c r="V7" s="27"/>
      <c r="W7" s="27"/>
      <c r="X7" s="27"/>
      <c r="Y7" s="10"/>
    </row>
    <row r="8" spans="2:34" ht="23.25" x14ac:dyDescent="0.35">
      <c r="B8" s="9"/>
      <c r="C8" s="27"/>
      <c r="D8" s="27"/>
      <c r="E8" s="27"/>
      <c r="F8" s="27"/>
      <c r="G8" s="27"/>
      <c r="H8" s="27"/>
      <c r="L8" s="33" t="s">
        <v>23</v>
      </c>
      <c r="M8" s="33"/>
      <c r="N8" s="33"/>
      <c r="O8" s="30">
        <v>4460</v>
      </c>
      <c r="Q8" s="27"/>
      <c r="R8" s="27"/>
      <c r="S8" s="27"/>
      <c r="T8" s="27"/>
      <c r="U8" s="27"/>
      <c r="V8" s="27"/>
      <c r="W8" s="27"/>
      <c r="X8" s="27"/>
      <c r="Y8" s="10"/>
    </row>
    <row r="9" spans="2:34" ht="23.25" x14ac:dyDescent="0.35">
      <c r="B9" s="9"/>
      <c r="C9" s="27"/>
      <c r="D9" s="27"/>
      <c r="E9" s="27"/>
      <c r="F9" s="27"/>
      <c r="G9" s="27"/>
      <c r="H9" s="27"/>
      <c r="L9" s="32" t="s">
        <v>21</v>
      </c>
      <c r="M9" s="32"/>
      <c r="N9" s="32"/>
      <c r="O9" s="29">
        <f>AVERAGE('Sales data'!D2:D31)</f>
        <v>411833.33333333331</v>
      </c>
      <c r="Q9" s="27"/>
      <c r="R9" s="27"/>
      <c r="S9" s="27"/>
      <c r="T9" s="27"/>
      <c r="U9" s="27"/>
      <c r="V9" s="27"/>
      <c r="W9" s="27"/>
      <c r="X9" s="27"/>
      <c r="Y9" s="10"/>
    </row>
    <row r="10" spans="2:34" x14ac:dyDescent="0.25">
      <c r="B10" s="9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10"/>
    </row>
    <row r="11" spans="2:34" x14ac:dyDescent="0.25">
      <c r="B11" s="9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10"/>
    </row>
    <row r="12" spans="2:34" x14ac:dyDescent="0.25">
      <c r="B12" s="9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10"/>
    </row>
    <row r="13" spans="2:34" x14ac:dyDescent="0.25">
      <c r="B13" s="9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10"/>
    </row>
    <row r="14" spans="2:34" x14ac:dyDescent="0.25">
      <c r="B14" s="9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10"/>
    </row>
    <row r="15" spans="2:34" x14ac:dyDescent="0.25">
      <c r="B15" s="9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10"/>
    </row>
    <row r="16" spans="2:34" x14ac:dyDescent="0.25">
      <c r="B16" s="9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10"/>
    </row>
    <row r="17" spans="2:25" x14ac:dyDescent="0.25">
      <c r="B17" s="9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10"/>
    </row>
    <row r="18" spans="2:25" x14ac:dyDescent="0.25">
      <c r="B18" s="9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10"/>
    </row>
    <row r="19" spans="2:25" x14ac:dyDescent="0.25">
      <c r="B19" s="9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10"/>
    </row>
    <row r="20" spans="2:25" x14ac:dyDescent="0.25">
      <c r="B20" s="9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10"/>
    </row>
    <row r="21" spans="2:25" x14ac:dyDescent="0.25">
      <c r="B21" s="9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10"/>
    </row>
    <row r="22" spans="2:25" x14ac:dyDescent="0.25">
      <c r="B22" s="9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10"/>
    </row>
    <row r="23" spans="2:25" x14ac:dyDescent="0.25">
      <c r="B23" s="9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10"/>
    </row>
    <row r="24" spans="2:25" x14ac:dyDescent="0.25">
      <c r="B24" s="9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10"/>
    </row>
    <row r="25" spans="2:25" x14ac:dyDescent="0.25">
      <c r="B25" s="9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10"/>
    </row>
    <row r="26" spans="2:25" x14ac:dyDescent="0.25">
      <c r="B26" s="9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10"/>
    </row>
    <row r="27" spans="2:25" x14ac:dyDescent="0.25">
      <c r="B27" s="9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10"/>
    </row>
    <row r="28" spans="2:25" x14ac:dyDescent="0.25">
      <c r="B28" s="9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10"/>
    </row>
    <row r="29" spans="2:25" x14ac:dyDescent="0.25">
      <c r="B29" s="9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10"/>
    </row>
    <row r="30" spans="2:25" x14ac:dyDescent="0.25">
      <c r="B30" s="9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10"/>
    </row>
    <row r="31" spans="2:25" x14ac:dyDescent="0.25">
      <c r="B31" s="9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10"/>
    </row>
    <row r="32" spans="2:25" x14ac:dyDescent="0.25">
      <c r="B32" s="9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10"/>
    </row>
    <row r="33" spans="2:25" x14ac:dyDescent="0.25">
      <c r="B33" s="9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10"/>
    </row>
    <row r="34" spans="2:25" x14ac:dyDescent="0.25">
      <c r="B34" s="9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10"/>
    </row>
    <row r="35" spans="2:25" x14ac:dyDescent="0.25">
      <c r="B35" s="9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10"/>
    </row>
    <row r="36" spans="2:25" x14ac:dyDescent="0.25">
      <c r="B36" s="9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10"/>
    </row>
    <row r="37" spans="2:25" x14ac:dyDescent="0.25">
      <c r="B37" s="9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10"/>
    </row>
    <row r="38" spans="2:25" x14ac:dyDescent="0.25">
      <c r="B38" s="9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10"/>
    </row>
    <row r="39" spans="2:25" x14ac:dyDescent="0.25"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3"/>
    </row>
  </sheetData>
  <mergeCells count="2">
    <mergeCell ref="B2:Y3"/>
    <mergeCell ref="B4:Y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04F7-43FE-4E84-A5A6-88E0715395A3}">
  <dimension ref="A1:E39"/>
  <sheetViews>
    <sheetView workbookViewId="0">
      <selection activeCell="D42" sqref="D42"/>
    </sheetView>
  </sheetViews>
  <sheetFormatPr defaultRowHeight="15" x14ac:dyDescent="0.25"/>
  <cols>
    <col min="1" max="2" width="9.28515625" bestFit="1" customWidth="1"/>
    <col min="3" max="3" width="16.5703125" customWidth="1"/>
    <col min="4" max="4" width="31.28515625" customWidth="1"/>
    <col min="5" max="5" width="31.42578125" customWidth="1"/>
  </cols>
  <sheetData>
    <row r="1" spans="1:5" x14ac:dyDescent="0.25">
      <c r="A1" t="s">
        <v>0</v>
      </c>
      <c r="B1" t="s">
        <v>3</v>
      </c>
      <c r="C1" t="s">
        <v>16</v>
      </c>
      <c r="D1" t="s">
        <v>17</v>
      </c>
      <c r="E1" t="s">
        <v>18</v>
      </c>
    </row>
    <row r="2" spans="1:5" x14ac:dyDescent="0.25">
      <c r="A2" s="1">
        <v>45292</v>
      </c>
      <c r="B2">
        <v>150000</v>
      </c>
    </row>
    <row r="3" spans="1:5" x14ac:dyDescent="0.25">
      <c r="A3" s="1">
        <v>45323</v>
      </c>
      <c r="B3">
        <v>165000</v>
      </c>
    </row>
    <row r="4" spans="1:5" x14ac:dyDescent="0.25">
      <c r="A4" s="1">
        <v>45352</v>
      </c>
      <c r="B4">
        <v>180000</v>
      </c>
    </row>
    <row r="5" spans="1:5" x14ac:dyDescent="0.25">
      <c r="A5" s="1">
        <v>45383</v>
      </c>
      <c r="B5">
        <v>175000</v>
      </c>
    </row>
    <row r="6" spans="1:5" x14ac:dyDescent="0.25">
      <c r="A6" s="1">
        <v>45413</v>
      </c>
      <c r="B6">
        <v>195000</v>
      </c>
    </row>
    <row r="7" spans="1:5" x14ac:dyDescent="0.25">
      <c r="A7" s="1">
        <v>45444</v>
      </c>
      <c r="B7">
        <v>210000</v>
      </c>
    </row>
    <row r="8" spans="1:5" x14ac:dyDescent="0.25">
      <c r="A8" s="1">
        <v>45474</v>
      </c>
      <c r="B8">
        <v>225000</v>
      </c>
    </row>
    <row r="9" spans="1:5" x14ac:dyDescent="0.25">
      <c r="A9" s="1">
        <v>45505</v>
      </c>
      <c r="B9">
        <v>240000</v>
      </c>
    </row>
    <row r="10" spans="1:5" x14ac:dyDescent="0.25">
      <c r="A10" s="1">
        <v>45536</v>
      </c>
      <c r="B10">
        <v>300000</v>
      </c>
    </row>
    <row r="11" spans="1:5" x14ac:dyDescent="0.25">
      <c r="A11" s="1">
        <v>45566</v>
      </c>
      <c r="B11">
        <v>270000</v>
      </c>
    </row>
    <row r="12" spans="1:5" x14ac:dyDescent="0.25">
      <c r="A12" s="1">
        <v>45597</v>
      </c>
      <c r="B12">
        <v>290000</v>
      </c>
    </row>
    <row r="13" spans="1:5" x14ac:dyDescent="0.25">
      <c r="A13" s="1">
        <v>45627</v>
      </c>
      <c r="B13">
        <v>320000</v>
      </c>
    </row>
    <row r="14" spans="1:5" x14ac:dyDescent="0.25">
      <c r="A14" s="1">
        <v>45658</v>
      </c>
      <c r="B14">
        <v>335000</v>
      </c>
    </row>
    <row r="15" spans="1:5" x14ac:dyDescent="0.25">
      <c r="A15" s="1">
        <v>45689</v>
      </c>
      <c r="B15">
        <v>350000</v>
      </c>
    </row>
    <row r="16" spans="1:5" x14ac:dyDescent="0.25">
      <c r="A16" s="1">
        <v>45717</v>
      </c>
      <c r="B16">
        <v>370000</v>
      </c>
    </row>
    <row r="17" spans="1:5" x14ac:dyDescent="0.25">
      <c r="A17" s="1">
        <v>45748</v>
      </c>
      <c r="B17">
        <v>385000</v>
      </c>
    </row>
    <row r="18" spans="1:5" x14ac:dyDescent="0.25">
      <c r="A18" s="1">
        <v>45778</v>
      </c>
      <c r="B18">
        <v>405000</v>
      </c>
    </row>
    <row r="19" spans="1:5" x14ac:dyDescent="0.25">
      <c r="A19" s="1">
        <v>45809</v>
      </c>
      <c r="B19">
        <v>425000</v>
      </c>
    </row>
    <row r="20" spans="1:5" x14ac:dyDescent="0.25">
      <c r="A20" s="1">
        <v>45839</v>
      </c>
      <c r="B20">
        <v>445000</v>
      </c>
    </row>
    <row r="21" spans="1:5" x14ac:dyDescent="0.25">
      <c r="A21" s="1">
        <v>45870</v>
      </c>
      <c r="B21">
        <v>500000</v>
      </c>
    </row>
    <row r="22" spans="1:5" x14ac:dyDescent="0.25">
      <c r="A22" s="1">
        <v>45901</v>
      </c>
      <c r="B22">
        <v>490000</v>
      </c>
    </row>
    <row r="23" spans="1:5" x14ac:dyDescent="0.25">
      <c r="A23" s="1">
        <v>45931</v>
      </c>
      <c r="B23">
        <v>515000</v>
      </c>
    </row>
    <row r="24" spans="1:5" x14ac:dyDescent="0.25">
      <c r="A24" s="1">
        <v>45962</v>
      </c>
      <c r="B24">
        <v>540000</v>
      </c>
    </row>
    <row r="25" spans="1:5" x14ac:dyDescent="0.25">
      <c r="A25" s="1">
        <v>45992</v>
      </c>
      <c r="B25">
        <v>580000</v>
      </c>
    </row>
    <row r="26" spans="1:5" x14ac:dyDescent="0.25">
      <c r="A26" s="1">
        <v>46023</v>
      </c>
      <c r="B26">
        <v>610000</v>
      </c>
    </row>
    <row r="27" spans="1:5" x14ac:dyDescent="0.25">
      <c r="A27" s="1">
        <v>46054</v>
      </c>
      <c r="B27">
        <v>640000</v>
      </c>
    </row>
    <row r="28" spans="1:5" x14ac:dyDescent="0.25">
      <c r="A28" s="1">
        <v>46082</v>
      </c>
      <c r="B28">
        <v>795000</v>
      </c>
    </row>
    <row r="29" spans="1:5" x14ac:dyDescent="0.25">
      <c r="A29" s="1">
        <v>46113</v>
      </c>
      <c r="B29">
        <v>700000</v>
      </c>
    </row>
    <row r="30" spans="1:5" x14ac:dyDescent="0.25">
      <c r="A30" s="1">
        <v>46143</v>
      </c>
      <c r="B30">
        <v>735000</v>
      </c>
    </row>
    <row r="31" spans="1:5" x14ac:dyDescent="0.25">
      <c r="A31" s="1">
        <v>46174</v>
      </c>
      <c r="B31">
        <v>815000</v>
      </c>
      <c r="C31">
        <v>815000</v>
      </c>
      <c r="D31" s="8">
        <v>815000</v>
      </c>
      <c r="E31" s="8">
        <v>815000</v>
      </c>
    </row>
    <row r="32" spans="1:5" x14ac:dyDescent="0.25">
      <c r="A32" s="1">
        <v>46204</v>
      </c>
      <c r="C32">
        <f t="shared" ref="C32:C39" si="0">_xlfn.FORECAST.ETS(A32,$B$2:$B$31,$A$2:$A$31,1,1)</f>
        <v>834644.43075631151</v>
      </c>
      <c r="D32" s="8">
        <f t="shared" ref="D32:D39" si="1">C32-_xlfn.FORECAST.ETS.CONFINT(A32,$B$2:$B$31,$A$2:$A$31,0.95,1,1)</f>
        <v>767055.81890164793</v>
      </c>
      <c r="E32" s="8">
        <f t="shared" ref="E32:E39" si="2">C32+_xlfn.FORECAST.ETS.CONFINT(A32,$B$2:$B$31,$A$2:$A$31,0.95,1,1)</f>
        <v>902233.0426109751</v>
      </c>
    </row>
    <row r="33" spans="1:5" x14ac:dyDescent="0.25">
      <c r="A33" s="1">
        <v>46235</v>
      </c>
      <c r="C33">
        <f t="shared" si="0"/>
        <v>868129.83131268225</v>
      </c>
      <c r="D33" s="8">
        <f t="shared" si="1"/>
        <v>783644.06649435277</v>
      </c>
      <c r="E33" s="8">
        <f t="shared" si="2"/>
        <v>952615.59613101173</v>
      </c>
    </row>
    <row r="34" spans="1:5" x14ac:dyDescent="0.25">
      <c r="A34" s="1">
        <v>46266</v>
      </c>
      <c r="C34">
        <f t="shared" si="0"/>
        <v>901615.2318690531</v>
      </c>
      <c r="D34" s="8">
        <f t="shared" si="1"/>
        <v>793420.66218379361</v>
      </c>
      <c r="E34" s="8">
        <f t="shared" si="2"/>
        <v>1009809.8015543126</v>
      </c>
    </row>
    <row r="35" spans="1:5" x14ac:dyDescent="0.25">
      <c r="A35" s="1">
        <v>46296</v>
      </c>
      <c r="C35">
        <f t="shared" si="0"/>
        <v>935100.63242542383</v>
      </c>
      <c r="D35" s="8">
        <f t="shared" si="1"/>
        <v>797827.51281959366</v>
      </c>
      <c r="E35" s="8">
        <f t="shared" si="2"/>
        <v>1072373.7520312541</v>
      </c>
    </row>
    <row r="36" spans="1:5" x14ac:dyDescent="0.25">
      <c r="A36" s="1">
        <v>46327</v>
      </c>
      <c r="C36">
        <f t="shared" si="0"/>
        <v>968586.03298179456</v>
      </c>
      <c r="D36" s="8">
        <f t="shared" si="1"/>
        <v>797933.1531809913</v>
      </c>
      <c r="E36" s="8">
        <f t="shared" si="2"/>
        <v>1139238.9127825978</v>
      </c>
    </row>
    <row r="37" spans="1:5" x14ac:dyDescent="0.25">
      <c r="A37" s="1">
        <v>46357</v>
      </c>
      <c r="C37">
        <f t="shared" si="0"/>
        <v>1002071.4335381654</v>
      </c>
      <c r="D37" s="8">
        <f t="shared" si="1"/>
        <v>794435.74171254016</v>
      </c>
      <c r="E37" s="8">
        <f t="shared" si="2"/>
        <v>1209707.1253637907</v>
      </c>
    </row>
    <row r="38" spans="1:5" x14ac:dyDescent="0.25">
      <c r="A38" s="1">
        <v>46388</v>
      </c>
      <c r="C38">
        <f t="shared" si="0"/>
        <v>1035556.8340945361</v>
      </c>
      <c r="D38" s="8">
        <f t="shared" si="1"/>
        <v>787795.93659521814</v>
      </c>
      <c r="E38" s="8">
        <f t="shared" si="2"/>
        <v>1283317.7315938543</v>
      </c>
    </row>
    <row r="39" spans="1:5" x14ac:dyDescent="0.25">
      <c r="A39" s="1">
        <v>46419</v>
      </c>
      <c r="C39">
        <f t="shared" si="0"/>
        <v>1069042.2346509069</v>
      </c>
      <c r="D39" s="8">
        <f t="shared" si="1"/>
        <v>778332.62289005192</v>
      </c>
      <c r="E39" s="8">
        <f t="shared" si="2"/>
        <v>1359751.8464117618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Dashboard</vt:lpstr>
      <vt:lpstr>Forecast_sales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Jeebraeel</dc:creator>
  <cp:lastModifiedBy>Md Jeebraeel</cp:lastModifiedBy>
  <dcterms:created xsi:type="dcterms:W3CDTF">2026-06-09T08:04:25Z</dcterms:created>
  <dcterms:modified xsi:type="dcterms:W3CDTF">2026-06-10T17:49:42Z</dcterms:modified>
</cp:coreProperties>
</file>